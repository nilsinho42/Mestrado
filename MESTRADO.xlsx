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sonp\Mestrado\"/>
    </mc:Choice>
  </mc:AlternateContent>
  <xr:revisionPtr revIDLastSave="0" documentId="13_ncr:1_{A53C68E3-209F-477A-84EF-F86B8E810B72}" xr6:coauthVersionLast="47" xr6:coauthVersionMax="47" xr10:uidLastSave="{00000000-0000-0000-0000-000000000000}"/>
  <bookViews>
    <workbookView xWindow="-28920" yWindow="-120" windowWidth="29040" windowHeight="15720" activeTab="3" xr2:uid="{CC3BA030-6B60-4B6E-BD35-09052EE17F78}"/>
  </bookViews>
  <sheets>
    <sheet name="FPS_METRICS" sheetId="1" r:id="rId1"/>
    <sheet name="COST_METRICS" sheetId="2" r:id="rId2"/>
    <sheet name="COUNT_PEOPLE" sheetId="3" r:id="rId3"/>
    <sheet name="COUNT_VEHICLES" sheetId="4" r:id="rId4"/>
    <sheet name="LATENCY_METRICS" sheetId="5" r:id="rId5"/>
    <sheet name="PRECISION_RECALL" sheetId="6" r:id="rId6"/>
    <sheet name="PROCESSING_TIME_METRIC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" i="4" l="1"/>
  <c r="R22" i="4"/>
  <c r="Q22" i="4"/>
  <c r="P22" i="4"/>
  <c r="N22" i="4"/>
  <c r="M22" i="4"/>
  <c r="L22" i="4"/>
  <c r="K22" i="4"/>
  <c r="I16" i="4"/>
  <c r="N19" i="4" s="1"/>
  <c r="S19" i="4" s="1"/>
  <c r="H16" i="4"/>
  <c r="G16" i="4"/>
  <c r="F16" i="4"/>
  <c r="E16" i="4"/>
  <c r="H13" i="4"/>
  <c r="G13" i="4"/>
  <c r="F13" i="4"/>
  <c r="E13" i="4"/>
  <c r="I13" i="4"/>
  <c r="Q2" i="7"/>
  <c r="W8" i="7"/>
  <c r="W7" i="7"/>
  <c r="W6" i="7"/>
  <c r="W5" i="7"/>
  <c r="W4" i="7"/>
  <c r="W3" i="7"/>
  <c r="W2" i="7"/>
  <c r="V8" i="7"/>
  <c r="V7" i="7"/>
  <c r="V6" i="7"/>
  <c r="V5" i="7"/>
  <c r="V4" i="7"/>
  <c r="V3" i="7"/>
  <c r="V2" i="7"/>
  <c r="U3" i="7"/>
  <c r="U4" i="7"/>
  <c r="U5" i="7"/>
  <c r="U6" i="7"/>
  <c r="U7" i="7"/>
  <c r="U8" i="7"/>
  <c r="U2" i="7"/>
  <c r="S8" i="7"/>
  <c r="S7" i="7"/>
  <c r="S6" i="7"/>
  <c r="S5" i="7"/>
  <c r="S4" i="7"/>
  <c r="S3" i="7"/>
  <c r="S2" i="7"/>
  <c r="R8" i="7"/>
  <c r="R7" i="7"/>
  <c r="R6" i="7"/>
  <c r="R5" i="7"/>
  <c r="R4" i="7"/>
  <c r="R3" i="7"/>
  <c r="R2" i="7"/>
  <c r="Q3" i="7"/>
  <c r="Q4" i="7"/>
  <c r="Q5" i="7"/>
  <c r="Q6" i="7"/>
  <c r="Q7" i="7"/>
  <c r="Q8" i="7"/>
  <c r="E20" i="7"/>
  <c r="E18" i="7"/>
  <c r="E16" i="7"/>
  <c r="E14" i="7"/>
  <c r="P8" i="7"/>
  <c r="P7" i="7"/>
  <c r="P6" i="7"/>
  <c r="P5" i="7"/>
  <c r="P4" i="7"/>
  <c r="P3" i="7"/>
  <c r="P2" i="7"/>
  <c r="O8" i="7"/>
  <c r="O7" i="7"/>
  <c r="O6" i="7"/>
  <c r="O5" i="7"/>
  <c r="O4" i="7"/>
  <c r="O3" i="7"/>
  <c r="O2" i="7"/>
  <c r="N8" i="7"/>
  <c r="N7" i="7"/>
  <c r="N6" i="7"/>
  <c r="N5" i="7"/>
  <c r="N4" i="7"/>
  <c r="N3" i="7"/>
  <c r="N2" i="7"/>
  <c r="K19" i="4" l="1"/>
  <c r="P19" i="4" s="1"/>
  <c r="L19" i="4"/>
  <c r="Q19" i="4" s="1"/>
  <c r="M19" i="4"/>
  <c r="R19" i="4" s="1"/>
  <c r="N16" i="4"/>
  <c r="S16" i="4" s="1"/>
  <c r="L16" i="4"/>
  <c r="Q16" i="4" s="1"/>
  <c r="M16" i="4"/>
  <c r="R16" i="4" s="1"/>
  <c r="K16" i="4"/>
  <c r="P16" i="4" s="1"/>
  <c r="N13" i="4"/>
  <c r="S13" i="4" s="1"/>
  <c r="M13" i="4"/>
  <c r="R13" i="4" s="1"/>
  <c r="K13" i="4"/>
  <c r="P13" i="4" s="1"/>
  <c r="L13" i="4"/>
  <c r="Q13" i="4" s="1"/>
</calcChain>
</file>

<file path=xl/sharedStrings.xml><?xml version="1.0" encoding="utf-8"?>
<sst xmlns="http://schemas.openxmlformats.org/spreadsheetml/2006/main" count="282" uniqueCount="139">
  <si>
    <t xml:space="preserve">pk </t>
  </si>
  <si>
    <t xml:space="preserve">            date            </t>
  </si>
  <si>
    <t xml:space="preserve">         video_id         </t>
  </si>
  <si>
    <t xml:space="preserve"> frames </t>
  </si>
  <si>
    <t xml:space="preserve"> fps_azure </t>
  </si>
  <si>
    <t xml:space="preserve"> fps_aws </t>
  </si>
  <si>
    <t xml:space="preserve"> fps_gcp </t>
  </si>
  <si>
    <t xml:space="preserve"> fps_edge </t>
  </si>
  <si>
    <t xml:space="preserve"> 2025-05-11 23:23:49.344638 </t>
  </si>
  <si>
    <t xml:space="preserve"> proc_1746995557606740311 </t>
  </si>
  <si>
    <t xml:space="preserve"> 2025-05-12 21:02:02.635706 </t>
  </si>
  <si>
    <t xml:space="preserve"> proc_1747057639201832321 </t>
  </si>
  <si>
    <t xml:space="preserve"> 2025-05-13 06:43:09.050868 </t>
  </si>
  <si>
    <t xml:space="preserve"> proc_1747101290916632698 </t>
  </si>
  <si>
    <t xml:space="preserve"> 2025-05-14 17:18:52.385491 </t>
  </si>
  <si>
    <t xml:space="preserve"> proc_1747223241583018998 </t>
  </si>
  <si>
    <t xml:space="preserve"> 2025-05-14 21:06:43.986025 </t>
  </si>
  <si>
    <t xml:space="preserve"> proc_1747249888695158496 </t>
  </si>
  <si>
    <t xml:space="preserve"> 2025-05-15 02:38:59.20833  </t>
  </si>
  <si>
    <t xml:space="preserve"> proc_1747260732337593028 </t>
  </si>
  <si>
    <t xml:space="preserve"> 2025-05-15 05:27:20.863854 </t>
  </si>
  <si>
    <t xml:space="preserve"> proc_1747280481120760199 </t>
  </si>
  <si>
    <t xml:space="preserve"> pk </t>
  </si>
  <si>
    <t xml:space="preserve"> cost_azure </t>
  </si>
  <si>
    <t xml:space="preserve"> cost_aws </t>
  </si>
  <si>
    <t xml:space="preserve"> cost_gcp </t>
  </si>
  <si>
    <t xml:space="preserve"> cost_edge</t>
  </si>
  <si>
    <t xml:space="preserve"> 2025-05-11 23:23:49.376083 </t>
  </si>
  <si>
    <t xml:space="preserve"> 2025-05-12 21:02:02.717288 </t>
  </si>
  <si>
    <t xml:space="preserve"> 2025-05-13 06:43:09.071383 </t>
  </si>
  <si>
    <t xml:space="preserve"> 2025-05-14 17:18:52.40797  </t>
  </si>
  <si>
    <t xml:space="preserve"> 2025-05-14 21:06:44.018241 </t>
  </si>
  <si>
    <t xml:space="preserve"> 2025-05-15 02:38:59.238906 </t>
  </si>
  <si>
    <t xml:space="preserve"> 2025-05-15 05:27:20.893929 </t>
  </si>
  <si>
    <t xml:space="preserve"> cp_azure </t>
  </si>
  <si>
    <t xml:space="preserve"> cp_aws </t>
  </si>
  <si>
    <t xml:space="preserve"> cp_gcp </t>
  </si>
  <si>
    <t xml:space="preserve"> cp_edge </t>
  </si>
  <si>
    <t xml:space="preserve"> cp_expected</t>
  </si>
  <si>
    <t xml:space="preserve"> 2025-05-11 23:23:49.360059 </t>
  </si>
  <si>
    <t xml:space="preserve"> 2025-05-12 21:02:02.668128 </t>
  </si>
  <si>
    <t xml:space="preserve"> 2025-05-13 06:43:09.061082 </t>
  </si>
  <si>
    <t xml:space="preserve"> 2025-05-14 17:18:52.397569 </t>
  </si>
  <si>
    <t xml:space="preserve"> 2025-05-14 21:06:43.999897 </t>
  </si>
  <si>
    <t xml:space="preserve"> 2025-05-15 02:38:59.223362 </t>
  </si>
  <si>
    <t xml:space="preserve"> 2025-05-15 05:27:20.882318 </t>
  </si>
  <si>
    <t xml:space="preserve"> cv_azure </t>
  </si>
  <si>
    <t xml:space="preserve"> cv_aws </t>
  </si>
  <si>
    <t xml:space="preserve"> cv_gcp </t>
  </si>
  <si>
    <t xml:space="preserve"> cv_edge </t>
  </si>
  <si>
    <t xml:space="preserve"> cv_expected</t>
  </si>
  <si>
    <t xml:space="preserve"> 2025-05-11 23:23:49.353406 </t>
  </si>
  <si>
    <t xml:space="preserve"> 2025-05-12 21:02:02.650943 </t>
  </si>
  <si>
    <t xml:space="preserve"> 2025-05-13 06:43:09.056169 </t>
  </si>
  <si>
    <t xml:space="preserve"> 2025-05-14 17:18:52.391904 </t>
  </si>
  <si>
    <t xml:space="preserve"> 2025-05-14 21:06:43.99288  </t>
  </si>
  <si>
    <t xml:space="preserve"> 2025-05-15 02:38:59.215449 </t>
  </si>
  <si>
    <t xml:space="preserve"> 2025-05-15 05:27:20.875787 </t>
  </si>
  <si>
    <t xml:space="preserve"> latency_azure_ms </t>
  </si>
  <si>
    <t xml:space="preserve"> latency_aws_ms </t>
  </si>
  <si>
    <t xml:space="preserve"> latency_gcp_ms </t>
  </si>
  <si>
    <t xml:space="preserve"> latency_edge_ms</t>
  </si>
  <si>
    <t xml:space="preserve"> 2025-05-11 23:23:49.296096 </t>
  </si>
  <si>
    <t xml:space="preserve"> 2025-05-12 21:02:02.532135 </t>
  </si>
  <si>
    <t xml:space="preserve"> 2025-05-13 06:43:09.027388 </t>
  </si>
  <si>
    <t xml:space="preserve"> 2025-05-14 17:18:52.3601   </t>
  </si>
  <si>
    <t xml:space="preserve"> 2025-05-14 21:06:43.957406 </t>
  </si>
  <si>
    <t xml:space="preserve"> 2025-05-15 02:38:59.178437 </t>
  </si>
  <si>
    <t xml:space="preserve"> 2025-05-15 05:27:20.843734 </t>
  </si>
  <si>
    <t xml:space="preserve"> precision_azure </t>
  </si>
  <si>
    <t xml:space="preserve"> precision_aws </t>
  </si>
  <si>
    <t xml:space="preserve"> precision_gcp </t>
  </si>
  <si>
    <t xml:space="preserve"> precision_edge </t>
  </si>
  <si>
    <t xml:space="preserve"> recall_azure </t>
  </si>
  <si>
    <t xml:space="preserve"> recall_aws </t>
  </si>
  <si>
    <t xml:space="preserve"> recall_gcp </t>
  </si>
  <si>
    <t xml:space="preserve"> recall_edge</t>
  </si>
  <si>
    <t xml:space="preserve"> 2025-05-11 23:23:49.36832  </t>
  </si>
  <si>
    <t xml:space="preserve"> 2025-05-12 21:02:02.688497 </t>
  </si>
  <si>
    <t xml:space="preserve"> 2025-05-13 06:43:09.065918 </t>
  </si>
  <si>
    <t xml:space="preserve"> 2025-05-14 17:18:52.40282  </t>
  </si>
  <si>
    <t xml:space="preserve"> 2025-05-14 21:06:44.010001 </t>
  </si>
  <si>
    <t xml:space="preserve"> 2025-05-15 02:38:59.232082 </t>
  </si>
  <si>
    <t xml:space="preserve"> 2025-05-15 05:27:20.887908 </t>
  </si>
  <si>
    <t xml:space="preserve"> pt_azure_sec </t>
  </si>
  <si>
    <t xml:space="preserve"> pt_aws_sec </t>
  </si>
  <si>
    <t xml:space="preserve"> pt_gcp_sec </t>
  </si>
  <si>
    <t xml:space="preserve"> pt_edge_sec</t>
  </si>
  <si>
    <t xml:space="preserve"> 2025-05-11 23:23:49.335682 </t>
  </si>
  <si>
    <t xml:space="preserve"> 2025-05-12 21:02:02.618754 </t>
  </si>
  <si>
    <t xml:space="preserve"> 2025-05-13 06:43:09.045684 </t>
  </si>
  <si>
    <t xml:space="preserve"> 2025-05-14 17:18:52.378693 </t>
  </si>
  <si>
    <t xml:space="preserve"> 2025-05-14 21:06:43.978121 </t>
  </si>
  <si>
    <t xml:space="preserve"> 2025-05-15 02:38:59.199376 </t>
  </si>
  <si>
    <t xml:space="preserve"> 2025-05-15 05:27:20.854763 </t>
  </si>
  <si>
    <t>video_description</t>
  </si>
  <si>
    <t>1_RAIN_DAY</t>
  </si>
  <si>
    <t>2_SUNNY_DAY</t>
  </si>
  <si>
    <t>3_CLOUDY_DAY</t>
  </si>
  <si>
    <t>4_RAIN_NIGHT</t>
  </si>
  <si>
    <t>5_SUNNY_DAY</t>
  </si>
  <si>
    <t>6_RAIN_NIGHT</t>
  </si>
  <si>
    <t>7_RAIN_NIGHT</t>
  </si>
  <si>
    <t>preço detecção azure</t>
  </si>
  <si>
    <t>por imagem</t>
  </si>
  <si>
    <t>preço detecção aws</t>
  </si>
  <si>
    <t>preço detecção gcp</t>
  </si>
  <si>
    <t>det_azure</t>
  </si>
  <si>
    <t>det_aws</t>
  </si>
  <si>
    <t>det_gcp</t>
  </si>
  <si>
    <t>por GB/s</t>
  </si>
  <si>
    <t>por GB/h</t>
  </si>
  <si>
    <t>preço memória azure</t>
  </si>
  <si>
    <t>preço memória aws</t>
  </si>
  <si>
    <t>preço memória gcp</t>
  </si>
  <si>
    <t>rast_azure</t>
  </si>
  <si>
    <t>rast_aws</t>
  </si>
  <si>
    <t>rast_gcp</t>
  </si>
  <si>
    <t>por CPU/s</t>
  </si>
  <si>
    <t>por CPU/h</t>
  </si>
  <si>
    <t>preço CPU azure</t>
  </si>
  <si>
    <t>preço CPU aws</t>
  </si>
  <si>
    <t>preço CPU gcp</t>
  </si>
  <si>
    <t>cost_azure</t>
  </si>
  <si>
    <t>cost_aws</t>
  </si>
  <si>
    <t>cost_gcp</t>
  </si>
  <si>
    <t>Soma condições ideais iluminação</t>
  </si>
  <si>
    <t>Erro absoluto condições ideais iluminação</t>
  </si>
  <si>
    <t>Erro percentual condições ideais iluminação</t>
  </si>
  <si>
    <t>Soma condições ruins iluminação</t>
  </si>
  <si>
    <t>corrigido (não considera distância de captura)</t>
  </si>
  <si>
    <t>AZURE</t>
  </si>
  <si>
    <t>AWS</t>
  </si>
  <si>
    <t>GCP</t>
  </si>
  <si>
    <t>EDGE</t>
  </si>
  <si>
    <t>Esperado</t>
  </si>
  <si>
    <t>Soma condições ideais de distância</t>
  </si>
  <si>
    <t>Soma condições ruins de distância</t>
  </si>
  <si>
    <t>1_RAIN_DAY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</si>
</sst>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0" formatCode="_(* #,##0.0000_);_(* \(#,##0.0000\);_(* &quot;-&quot;??_);_(@_)"/>
    <numFmt numFmtId="171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43" fontId="0" fillId="0" borderId="0" xfId="1" applyFont="1"/>
    <xf numFmtId="170" fontId="0" fillId="0" borderId="0" xfId="1" applyNumberFormat="1" applyFont="1"/>
    <xf numFmtId="171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0" xfId="2" applyFont="1"/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58A7-BC02-4B49-8D56-370AFA71E5DF}">
  <dimension ref="A1:I8"/>
  <sheetViews>
    <sheetView workbookViewId="0">
      <selection activeCell="D1" sqref="D1:I8"/>
    </sheetView>
  </sheetViews>
  <sheetFormatPr defaultRowHeight="14.5" x14ac:dyDescent="0.35"/>
  <cols>
    <col min="1" max="1" width="3.36328125" bestFit="1" customWidth="1"/>
    <col min="2" max="2" width="25.1796875" bestFit="1" customWidth="1"/>
    <col min="3" max="3" width="25.36328125" bestFit="1" customWidth="1"/>
    <col min="4" max="4" width="7.6328125" bestFit="1" customWidth="1"/>
    <col min="5" max="5" width="9.81640625" bestFit="1" customWidth="1"/>
    <col min="6" max="6" width="8.54296875" bestFit="1" customWidth="1"/>
    <col min="7" max="7" width="8.1796875" bestFit="1" customWidth="1"/>
    <col min="8" max="8" width="9.08984375" bestFit="1" customWidth="1"/>
    <col min="9" max="9" width="15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95</v>
      </c>
    </row>
    <row r="2" spans="1:9" x14ac:dyDescent="0.35">
      <c r="A2">
        <v>11</v>
      </c>
      <c r="B2" t="s">
        <v>8</v>
      </c>
      <c r="C2" t="s">
        <v>9</v>
      </c>
      <c r="D2">
        <v>1849</v>
      </c>
      <c r="E2" s="2">
        <v>1.6778584392014519</v>
      </c>
      <c r="F2" s="2">
        <v>0.41444151936818352</v>
      </c>
      <c r="G2" s="2">
        <v>0.89861439675566068</v>
      </c>
      <c r="H2" s="2">
        <v>0.91411801050355268</v>
      </c>
      <c r="I2" t="s">
        <v>96</v>
      </c>
    </row>
    <row r="3" spans="1:9" x14ac:dyDescent="0.35">
      <c r="A3">
        <v>13</v>
      </c>
      <c r="B3" t="s">
        <v>10</v>
      </c>
      <c r="C3" t="s">
        <v>11</v>
      </c>
      <c r="D3">
        <v>3611</v>
      </c>
      <c r="E3" s="2">
        <v>1.3169219547775346</v>
      </c>
      <c r="F3" s="2">
        <v>0.35979530245374625</v>
      </c>
      <c r="G3" s="2">
        <v>0.76035119225780701</v>
      </c>
      <c r="H3" s="2">
        <v>1.8220323577531359</v>
      </c>
      <c r="I3" t="s">
        <v>97</v>
      </c>
    </row>
    <row r="4" spans="1:9" x14ac:dyDescent="0.35">
      <c r="A4">
        <v>14</v>
      </c>
      <c r="B4" t="s">
        <v>12</v>
      </c>
      <c r="C4" t="s">
        <v>13</v>
      </c>
      <c r="D4">
        <v>5416</v>
      </c>
      <c r="E4" s="2">
        <v>2.5938697318007664</v>
      </c>
      <c r="F4" s="2">
        <v>0.87437185929648242</v>
      </c>
      <c r="G4" s="2">
        <v>0.4876454972432101</v>
      </c>
      <c r="H4" s="2">
        <v>0.63178944652302926</v>
      </c>
      <c r="I4" t="s">
        <v>98</v>
      </c>
    </row>
    <row r="5" spans="1:9" x14ac:dyDescent="0.35">
      <c r="A5">
        <v>15</v>
      </c>
      <c r="B5" t="s">
        <v>14</v>
      </c>
      <c r="C5" t="s">
        <v>15</v>
      </c>
      <c r="D5">
        <v>5411</v>
      </c>
      <c r="E5" s="2">
        <v>2.1704773365423184</v>
      </c>
      <c r="F5" s="2">
        <v>0.80653510190876743</v>
      </c>
      <c r="G5" s="2">
        <v>0.47855705217525935</v>
      </c>
      <c r="H5" s="2">
        <v>0.84003121342177134</v>
      </c>
      <c r="I5" t="s">
        <v>99</v>
      </c>
    </row>
    <row r="6" spans="1:9" x14ac:dyDescent="0.35">
      <c r="A6">
        <v>16</v>
      </c>
      <c r="B6" t="s">
        <v>16</v>
      </c>
      <c r="C6" t="s">
        <v>17</v>
      </c>
      <c r="D6">
        <v>1827</v>
      </c>
      <c r="E6" s="2">
        <v>2.2695652173913046</v>
      </c>
      <c r="F6" s="2">
        <v>0.7931034482758621</v>
      </c>
      <c r="G6" s="2">
        <v>0.42379958246346555</v>
      </c>
      <c r="H6" s="2">
        <v>0.90857359635811841</v>
      </c>
      <c r="I6" t="s">
        <v>100</v>
      </c>
    </row>
    <row r="7" spans="1:9" x14ac:dyDescent="0.35">
      <c r="A7">
        <v>17</v>
      </c>
      <c r="B7" t="s">
        <v>18</v>
      </c>
      <c r="C7" t="s">
        <v>19</v>
      </c>
      <c r="D7">
        <v>3652</v>
      </c>
      <c r="E7" s="2">
        <v>2.0679501698754246</v>
      </c>
      <c r="F7" s="2">
        <v>0.53792263173926291</v>
      </c>
      <c r="G7" s="2">
        <v>0.61353018127452807</v>
      </c>
      <c r="H7" s="2">
        <v>0.97167241692391504</v>
      </c>
      <c r="I7" t="s">
        <v>101</v>
      </c>
    </row>
    <row r="8" spans="1:9" x14ac:dyDescent="0.35">
      <c r="A8">
        <v>18</v>
      </c>
      <c r="B8" t="s">
        <v>20</v>
      </c>
      <c r="C8" t="s">
        <v>21</v>
      </c>
      <c r="D8">
        <v>1816</v>
      </c>
      <c r="E8" s="2">
        <v>2.2587064676616917</v>
      </c>
      <c r="F8" s="2">
        <v>0.71339840283939659</v>
      </c>
      <c r="G8" s="2">
        <v>0.6216216216216216</v>
      </c>
      <c r="H8" s="2">
        <v>0.70627191273860535</v>
      </c>
      <c r="I8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8527-6843-42A4-836A-EED778EAE36C}">
  <dimension ref="A1:I8"/>
  <sheetViews>
    <sheetView workbookViewId="0">
      <selection activeCell="I36" sqref="I36"/>
    </sheetView>
  </sheetViews>
  <sheetFormatPr defaultRowHeight="14.5" x14ac:dyDescent="0.35"/>
  <cols>
    <col min="1" max="1" width="3.81640625" bestFit="1" customWidth="1"/>
    <col min="2" max="2" width="25.1796875" bestFit="1" customWidth="1"/>
    <col min="3" max="3" width="25.36328125" bestFit="1" customWidth="1"/>
    <col min="4" max="4" width="7.6328125" bestFit="1" customWidth="1"/>
    <col min="5" max="5" width="10.7265625" bestFit="1" customWidth="1"/>
    <col min="6" max="6" width="9.54296875" bestFit="1" customWidth="1"/>
    <col min="7" max="7" width="9.08984375" bestFit="1" customWidth="1"/>
    <col min="8" max="8" width="9.6328125" bestFit="1" customWidth="1"/>
    <col min="9" max="9" width="27.08984375" bestFit="1" customWidth="1"/>
  </cols>
  <sheetData>
    <row r="1" spans="1:9" x14ac:dyDescent="0.35">
      <c r="A1" t="s">
        <v>22</v>
      </c>
      <c r="B1" t="s">
        <v>1</v>
      </c>
      <c r="C1" t="s">
        <v>2</v>
      </c>
      <c r="D1" t="s">
        <v>3</v>
      </c>
      <c r="E1" t="s">
        <v>23</v>
      </c>
      <c r="F1" t="s">
        <v>24</v>
      </c>
      <c r="G1" t="s">
        <v>25</v>
      </c>
      <c r="H1" t="s">
        <v>26</v>
      </c>
      <c r="I1" t="s">
        <v>95</v>
      </c>
    </row>
    <row r="2" spans="1:9" x14ac:dyDescent="0.35">
      <c r="A2">
        <v>11</v>
      </c>
      <c r="B2" t="s">
        <v>27</v>
      </c>
      <c r="C2" t="s">
        <v>9</v>
      </c>
      <c r="D2">
        <v>1849</v>
      </c>
      <c r="E2" s="4">
        <v>1.9</v>
      </c>
      <c r="F2" s="4">
        <v>1.86</v>
      </c>
      <c r="G2" s="4">
        <v>2.79</v>
      </c>
      <c r="H2" s="3">
        <v>3.3988499999999997E-3</v>
      </c>
      <c r="I2" t="s">
        <v>96</v>
      </c>
    </row>
    <row r="3" spans="1:9" x14ac:dyDescent="0.35">
      <c r="A3">
        <v>13</v>
      </c>
      <c r="B3" t="s">
        <v>28</v>
      </c>
      <c r="C3" t="s">
        <v>11</v>
      </c>
      <c r="D3">
        <v>3611</v>
      </c>
      <c r="E3" s="4">
        <v>3.65</v>
      </c>
      <c r="F3" s="4">
        <v>3.64</v>
      </c>
      <c r="G3" s="4">
        <v>5.46</v>
      </c>
      <c r="H3" s="3">
        <v>5.7760499999999996E-3</v>
      </c>
      <c r="I3" t="s">
        <v>97</v>
      </c>
    </row>
    <row r="4" spans="1:9" x14ac:dyDescent="0.35">
      <c r="A4">
        <v>14</v>
      </c>
      <c r="B4" t="s">
        <v>29</v>
      </c>
      <c r="C4" t="s">
        <v>13</v>
      </c>
      <c r="D4">
        <v>5416</v>
      </c>
      <c r="E4" s="4">
        <v>5.43</v>
      </c>
      <c r="F4" s="4">
        <v>5.43</v>
      </c>
      <c r="G4" s="4">
        <v>8.14</v>
      </c>
      <c r="H4" s="3">
        <v>8.1385499999999996E-3</v>
      </c>
      <c r="I4" t="s">
        <v>98</v>
      </c>
    </row>
    <row r="5" spans="1:9" x14ac:dyDescent="0.35">
      <c r="A5">
        <v>15</v>
      </c>
      <c r="B5" t="s">
        <v>30</v>
      </c>
      <c r="C5" t="s">
        <v>15</v>
      </c>
      <c r="D5">
        <v>5411</v>
      </c>
      <c r="E5" s="4">
        <v>5.43</v>
      </c>
      <c r="F5" s="4">
        <v>5.43</v>
      </c>
      <c r="G5" s="4">
        <v>8.14</v>
      </c>
      <c r="H5" s="3">
        <v>8.0734499999999994E-3</v>
      </c>
      <c r="I5" t="s">
        <v>99</v>
      </c>
    </row>
    <row r="6" spans="1:9" x14ac:dyDescent="0.35">
      <c r="A6">
        <v>16</v>
      </c>
      <c r="B6" t="s">
        <v>31</v>
      </c>
      <c r="C6" t="s">
        <v>17</v>
      </c>
      <c r="D6">
        <v>1827</v>
      </c>
      <c r="E6" s="4">
        <v>1.84</v>
      </c>
      <c r="F6" s="4">
        <v>1.84</v>
      </c>
      <c r="G6" s="4">
        <v>2.75</v>
      </c>
      <c r="H6" s="3">
        <v>2.7677999999999999E-3</v>
      </c>
      <c r="I6" t="s">
        <v>100</v>
      </c>
    </row>
    <row r="7" spans="1:9" x14ac:dyDescent="0.35">
      <c r="A7">
        <v>17</v>
      </c>
      <c r="B7" t="s">
        <v>32</v>
      </c>
      <c r="C7" t="s">
        <v>19</v>
      </c>
      <c r="D7">
        <v>3652</v>
      </c>
      <c r="E7" s="4">
        <v>3.69</v>
      </c>
      <c r="F7" s="4">
        <v>3.67</v>
      </c>
      <c r="G7" s="4">
        <v>5.5</v>
      </c>
      <c r="H7" s="3">
        <v>5.7823499999999995E-3</v>
      </c>
      <c r="I7" t="s">
        <v>101</v>
      </c>
    </row>
    <row r="8" spans="1:9" x14ac:dyDescent="0.35">
      <c r="A8">
        <v>18</v>
      </c>
      <c r="B8" t="s">
        <v>33</v>
      </c>
      <c r="C8" t="s">
        <v>21</v>
      </c>
      <c r="D8">
        <v>1816</v>
      </c>
      <c r="E8" s="4">
        <v>1.84</v>
      </c>
      <c r="F8" s="4">
        <v>1.83</v>
      </c>
      <c r="G8" s="4">
        <v>2.73</v>
      </c>
      <c r="H8" s="3">
        <v>2.6953499999999996E-3</v>
      </c>
      <c r="I8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9E6A-0408-4C3A-8B53-821107D7CB7B}">
  <dimension ref="A1:J8"/>
  <sheetViews>
    <sheetView workbookViewId="0">
      <selection activeCell="E1" sqref="E1:J8"/>
    </sheetView>
  </sheetViews>
  <sheetFormatPr defaultRowHeight="14.5" x14ac:dyDescent="0.35"/>
  <cols>
    <col min="1" max="1" width="3.81640625" bestFit="1" customWidth="1"/>
    <col min="2" max="2" width="25.1796875" bestFit="1" customWidth="1"/>
    <col min="3" max="3" width="25.36328125" bestFit="1" customWidth="1"/>
    <col min="4" max="4" width="7.6328125" bestFit="1" customWidth="1"/>
    <col min="5" max="5" width="9.26953125" bestFit="1" customWidth="1"/>
    <col min="6" max="6" width="8" bestFit="1" customWidth="1"/>
    <col min="7" max="7" width="7.6328125" bestFit="1" customWidth="1"/>
    <col min="8" max="8" width="8.54296875" bestFit="1" customWidth="1"/>
    <col min="9" max="9" width="11.54296875" bestFit="1" customWidth="1"/>
    <col min="10" max="10" width="15.90625" bestFit="1" customWidth="1"/>
  </cols>
  <sheetData>
    <row r="1" spans="1:10" x14ac:dyDescent="0.35">
      <c r="A1" t="s">
        <v>22</v>
      </c>
      <c r="B1" t="s">
        <v>1</v>
      </c>
      <c r="C1" t="s">
        <v>2</v>
      </c>
      <c r="D1" t="s">
        <v>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95</v>
      </c>
    </row>
    <row r="2" spans="1:10" x14ac:dyDescent="0.35">
      <c r="A2">
        <v>11</v>
      </c>
      <c r="B2" t="s">
        <v>39</v>
      </c>
      <c r="C2" t="s">
        <v>9</v>
      </c>
      <c r="D2">
        <v>1849</v>
      </c>
      <c r="E2">
        <v>3</v>
      </c>
      <c r="F2">
        <v>3</v>
      </c>
      <c r="G2">
        <v>2</v>
      </c>
      <c r="H2">
        <v>2</v>
      </c>
      <c r="I2">
        <v>3</v>
      </c>
      <c r="J2" t="s">
        <v>96</v>
      </c>
    </row>
    <row r="3" spans="1:10" x14ac:dyDescent="0.35">
      <c r="A3">
        <v>13</v>
      </c>
      <c r="B3" t="s">
        <v>40</v>
      </c>
      <c r="C3" t="s">
        <v>11</v>
      </c>
      <c r="D3">
        <v>3611</v>
      </c>
      <c r="E3">
        <v>2</v>
      </c>
      <c r="F3">
        <v>1</v>
      </c>
      <c r="G3">
        <v>4</v>
      </c>
      <c r="H3">
        <v>2</v>
      </c>
      <c r="I3">
        <v>0</v>
      </c>
      <c r="J3" t="s">
        <v>97</v>
      </c>
    </row>
    <row r="4" spans="1:10" x14ac:dyDescent="0.35">
      <c r="A4">
        <v>14</v>
      </c>
      <c r="B4" t="s">
        <v>41</v>
      </c>
      <c r="C4" t="s">
        <v>13</v>
      </c>
      <c r="D4">
        <v>5416</v>
      </c>
      <c r="E4">
        <v>0</v>
      </c>
      <c r="F4">
        <v>0</v>
      </c>
      <c r="G4">
        <v>0</v>
      </c>
      <c r="H4">
        <v>0</v>
      </c>
      <c r="I4">
        <v>0</v>
      </c>
      <c r="J4" t="s">
        <v>98</v>
      </c>
    </row>
    <row r="5" spans="1:10" x14ac:dyDescent="0.35">
      <c r="A5">
        <v>15</v>
      </c>
      <c r="B5" t="s">
        <v>42</v>
      </c>
      <c r="C5" t="s">
        <v>15</v>
      </c>
      <c r="D5">
        <v>5411</v>
      </c>
      <c r="E5">
        <v>1</v>
      </c>
      <c r="F5">
        <v>1</v>
      </c>
      <c r="G5">
        <v>1</v>
      </c>
      <c r="H5">
        <v>1</v>
      </c>
      <c r="I5">
        <v>3</v>
      </c>
      <c r="J5" t="s">
        <v>99</v>
      </c>
    </row>
    <row r="6" spans="1:10" x14ac:dyDescent="0.35">
      <c r="A6">
        <v>16</v>
      </c>
      <c r="B6" t="s">
        <v>43</v>
      </c>
      <c r="C6" t="s">
        <v>17</v>
      </c>
      <c r="D6">
        <v>1827</v>
      </c>
      <c r="E6">
        <v>0</v>
      </c>
      <c r="F6">
        <v>0</v>
      </c>
      <c r="G6">
        <v>0</v>
      </c>
      <c r="H6">
        <v>0</v>
      </c>
      <c r="I6">
        <v>0</v>
      </c>
      <c r="J6" t="s">
        <v>100</v>
      </c>
    </row>
    <row r="7" spans="1:10" x14ac:dyDescent="0.35">
      <c r="A7">
        <v>17</v>
      </c>
      <c r="B7" t="s">
        <v>44</v>
      </c>
      <c r="C7" t="s">
        <v>19</v>
      </c>
      <c r="D7">
        <v>3652</v>
      </c>
      <c r="E7">
        <v>1</v>
      </c>
      <c r="F7">
        <v>2</v>
      </c>
      <c r="G7">
        <v>1</v>
      </c>
      <c r="H7">
        <v>1</v>
      </c>
      <c r="I7">
        <v>1</v>
      </c>
      <c r="J7" t="s">
        <v>101</v>
      </c>
    </row>
    <row r="8" spans="1:10" x14ac:dyDescent="0.35">
      <c r="A8">
        <v>18</v>
      </c>
      <c r="B8" t="s">
        <v>45</v>
      </c>
      <c r="C8" t="s">
        <v>21</v>
      </c>
      <c r="D8">
        <v>1816</v>
      </c>
      <c r="E8">
        <v>0</v>
      </c>
      <c r="F8">
        <v>0</v>
      </c>
      <c r="G8">
        <v>0</v>
      </c>
      <c r="H8">
        <v>0</v>
      </c>
      <c r="I8">
        <v>1</v>
      </c>
      <c r="J8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2042-D88C-4617-8399-76BEFCA2BE68}">
  <dimension ref="A1:S22"/>
  <sheetViews>
    <sheetView tabSelected="1" workbookViewId="0">
      <selection activeCell="H4" sqref="H4"/>
    </sheetView>
  </sheetViews>
  <sheetFormatPr defaultRowHeight="14.5" x14ac:dyDescent="0.35"/>
  <cols>
    <col min="1" max="1" width="3.81640625" bestFit="1" customWidth="1"/>
    <col min="2" max="2" width="25.1796875" bestFit="1" customWidth="1"/>
    <col min="3" max="3" width="25.36328125" bestFit="1" customWidth="1"/>
    <col min="4" max="4" width="7.6328125" bestFit="1" customWidth="1"/>
    <col min="5" max="5" width="9" bestFit="1" customWidth="1"/>
    <col min="6" max="6" width="7.7265625" bestFit="1" customWidth="1"/>
    <col min="7" max="7" width="7.36328125" bestFit="1" customWidth="1"/>
    <col min="8" max="8" width="8.26953125" bestFit="1" customWidth="1"/>
    <col min="9" max="9" width="11.26953125" bestFit="1" customWidth="1"/>
    <col min="14" max="14" width="13.90625" customWidth="1"/>
    <col min="19" max="20" width="12.26953125" customWidth="1"/>
  </cols>
  <sheetData>
    <row r="1" spans="1:19" x14ac:dyDescent="0.35">
      <c r="A1" t="s">
        <v>22</v>
      </c>
      <c r="B1" t="s">
        <v>1</v>
      </c>
      <c r="C1" t="s">
        <v>2</v>
      </c>
      <c r="D1" t="s">
        <v>3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95</v>
      </c>
    </row>
    <row r="2" spans="1:19" x14ac:dyDescent="0.35">
      <c r="A2">
        <v>11</v>
      </c>
      <c r="B2" t="s">
        <v>51</v>
      </c>
      <c r="C2" t="s">
        <v>9</v>
      </c>
      <c r="D2">
        <v>1849</v>
      </c>
      <c r="E2" s="1">
        <v>13</v>
      </c>
      <c r="F2" s="1">
        <v>15</v>
      </c>
      <c r="G2" s="1">
        <v>22</v>
      </c>
      <c r="H2" s="1">
        <v>18</v>
      </c>
      <c r="I2">
        <v>16</v>
      </c>
      <c r="J2" t="s">
        <v>96</v>
      </c>
    </row>
    <row r="3" spans="1:19" x14ac:dyDescent="0.35">
      <c r="A3">
        <v>13</v>
      </c>
      <c r="B3" t="s">
        <v>52</v>
      </c>
      <c r="C3" t="s">
        <v>11</v>
      </c>
      <c r="D3">
        <v>3611</v>
      </c>
      <c r="E3" s="1">
        <v>22</v>
      </c>
      <c r="F3" s="1">
        <v>24</v>
      </c>
      <c r="G3" s="1">
        <v>13</v>
      </c>
      <c r="H3" s="1">
        <v>8</v>
      </c>
      <c r="I3">
        <v>13</v>
      </c>
      <c r="J3" t="s">
        <v>97</v>
      </c>
    </row>
    <row r="4" spans="1:19" x14ac:dyDescent="0.35">
      <c r="A4">
        <v>14</v>
      </c>
      <c r="B4" t="s">
        <v>53</v>
      </c>
      <c r="C4" t="s">
        <v>13</v>
      </c>
      <c r="D4">
        <v>5416</v>
      </c>
      <c r="E4" s="1">
        <v>3</v>
      </c>
      <c r="F4" s="1">
        <v>3</v>
      </c>
      <c r="G4" s="1">
        <v>3</v>
      </c>
      <c r="H4" s="1">
        <v>1</v>
      </c>
      <c r="I4">
        <v>20</v>
      </c>
      <c r="J4" t="s">
        <v>98</v>
      </c>
      <c r="L4">
        <v>14</v>
      </c>
      <c r="M4" t="s">
        <v>130</v>
      </c>
    </row>
    <row r="5" spans="1:19" x14ac:dyDescent="0.35">
      <c r="A5">
        <v>15</v>
      </c>
      <c r="B5" t="s">
        <v>54</v>
      </c>
      <c r="C5" t="s">
        <v>15</v>
      </c>
      <c r="D5">
        <v>5411</v>
      </c>
      <c r="E5">
        <v>4</v>
      </c>
      <c r="F5">
        <v>7</v>
      </c>
      <c r="G5">
        <v>5</v>
      </c>
      <c r="H5">
        <v>6</v>
      </c>
      <c r="I5">
        <v>25</v>
      </c>
      <c r="J5" t="s">
        <v>99</v>
      </c>
      <c r="L5">
        <v>10</v>
      </c>
      <c r="M5" t="s">
        <v>130</v>
      </c>
    </row>
    <row r="6" spans="1:19" x14ac:dyDescent="0.35">
      <c r="A6">
        <v>16</v>
      </c>
      <c r="B6" t="s">
        <v>55</v>
      </c>
      <c r="C6" t="s">
        <v>17</v>
      </c>
      <c r="D6">
        <v>1827</v>
      </c>
      <c r="E6" s="1">
        <v>6</v>
      </c>
      <c r="F6" s="1">
        <v>5</v>
      </c>
      <c r="G6" s="1">
        <v>6</v>
      </c>
      <c r="H6" s="1">
        <v>6</v>
      </c>
      <c r="I6">
        <v>5</v>
      </c>
      <c r="J6" t="s">
        <v>100</v>
      </c>
    </row>
    <row r="7" spans="1:19" x14ac:dyDescent="0.35">
      <c r="A7">
        <v>17</v>
      </c>
      <c r="B7" t="s">
        <v>56</v>
      </c>
      <c r="C7" t="s">
        <v>19</v>
      </c>
      <c r="D7">
        <v>3652</v>
      </c>
      <c r="E7">
        <v>17</v>
      </c>
      <c r="F7">
        <v>19</v>
      </c>
      <c r="G7">
        <v>17</v>
      </c>
      <c r="H7">
        <v>13</v>
      </c>
      <c r="I7">
        <v>26</v>
      </c>
      <c r="J7" t="s">
        <v>101</v>
      </c>
    </row>
    <row r="8" spans="1:19" x14ac:dyDescent="0.35">
      <c r="A8">
        <v>18</v>
      </c>
      <c r="B8" t="s">
        <v>57</v>
      </c>
      <c r="C8" t="s">
        <v>21</v>
      </c>
      <c r="D8">
        <v>1816</v>
      </c>
      <c r="E8">
        <v>3</v>
      </c>
      <c r="F8">
        <v>7</v>
      </c>
      <c r="G8">
        <v>5</v>
      </c>
      <c r="H8">
        <v>3</v>
      </c>
      <c r="I8">
        <v>20</v>
      </c>
      <c r="J8" t="s">
        <v>102</v>
      </c>
      <c r="L8">
        <v>7</v>
      </c>
      <c r="M8" t="s">
        <v>130</v>
      </c>
    </row>
    <row r="11" spans="1:19" x14ac:dyDescent="0.35">
      <c r="E11" t="s">
        <v>131</v>
      </c>
      <c r="F11" t="s">
        <v>132</v>
      </c>
      <c r="G11" t="s">
        <v>133</v>
      </c>
      <c r="H11" t="s">
        <v>134</v>
      </c>
      <c r="K11" t="s">
        <v>131</v>
      </c>
      <c r="L11" t="s">
        <v>132</v>
      </c>
      <c r="M11" t="s">
        <v>133</v>
      </c>
      <c r="N11" t="s">
        <v>134</v>
      </c>
      <c r="P11" t="s">
        <v>131</v>
      </c>
      <c r="Q11" t="s">
        <v>132</v>
      </c>
      <c r="R11" t="s">
        <v>133</v>
      </c>
      <c r="S11" t="s">
        <v>134</v>
      </c>
    </row>
    <row r="12" spans="1:19" x14ac:dyDescent="0.35">
      <c r="E12" s="8" t="s">
        <v>126</v>
      </c>
      <c r="F12" s="8"/>
      <c r="G12" s="8"/>
      <c r="H12" s="8"/>
      <c r="I12" t="s">
        <v>135</v>
      </c>
      <c r="K12" s="8" t="s">
        <v>127</v>
      </c>
      <c r="L12" s="8"/>
      <c r="M12" s="8"/>
      <c r="N12" s="8"/>
      <c r="P12" s="8" t="s">
        <v>128</v>
      </c>
      <c r="Q12" s="8"/>
      <c r="R12" s="8"/>
      <c r="S12" s="8"/>
    </row>
    <row r="13" spans="1:19" x14ac:dyDescent="0.35">
      <c r="E13">
        <f>SUM(E6,E3,E2,E4)</f>
        <v>44</v>
      </c>
      <c r="F13">
        <f>SUM(F6,F3,F2,F4)</f>
        <v>47</v>
      </c>
      <c r="G13">
        <f>SUM(G6,G3,G2,G4)</f>
        <v>44</v>
      </c>
      <c r="H13">
        <f>SUM(H6,H3,H2,H4)</f>
        <v>33</v>
      </c>
      <c r="I13">
        <f>SUM(I6,I3,I2,L4)</f>
        <v>48</v>
      </c>
      <c r="K13">
        <f>E13-$I$13</f>
        <v>-4</v>
      </c>
      <c r="L13">
        <f>F13-$I$13</f>
        <v>-1</v>
      </c>
      <c r="M13">
        <f>G13-$I$13</f>
        <v>-4</v>
      </c>
      <c r="N13">
        <f>H13-$I$13</f>
        <v>-15</v>
      </c>
      <c r="P13" s="7">
        <f>K13/$I$13</f>
        <v>-8.3333333333333329E-2</v>
      </c>
      <c r="Q13" s="7">
        <f>L13/$I$13</f>
        <v>-2.0833333333333332E-2</v>
      </c>
      <c r="R13" s="7">
        <f>M13/$I$13</f>
        <v>-8.3333333333333329E-2</v>
      </c>
      <c r="S13" s="7">
        <f>N13/$I$13</f>
        <v>-0.3125</v>
      </c>
    </row>
    <row r="15" spans="1:19" x14ac:dyDescent="0.35">
      <c r="E15" s="8" t="s">
        <v>129</v>
      </c>
      <c r="F15" s="8"/>
      <c r="G15" s="8"/>
      <c r="H15" s="8"/>
      <c r="I15" t="s">
        <v>135</v>
      </c>
      <c r="K15" s="8" t="s">
        <v>129</v>
      </c>
      <c r="L15" s="8"/>
      <c r="M15" s="8"/>
      <c r="N15" s="8"/>
      <c r="P15" s="8" t="s">
        <v>128</v>
      </c>
      <c r="Q15" s="8"/>
      <c r="R15" s="8"/>
      <c r="S15" s="8"/>
    </row>
    <row r="16" spans="1:19" x14ac:dyDescent="0.35">
      <c r="E16">
        <f>SUM(E8,E7,E5)</f>
        <v>24</v>
      </c>
      <c r="F16">
        <f t="shared" ref="F16:H16" si="0">SUM(F8,F7,F5)</f>
        <v>33</v>
      </c>
      <c r="G16">
        <f t="shared" si="0"/>
        <v>27</v>
      </c>
      <c r="H16">
        <f t="shared" si="0"/>
        <v>22</v>
      </c>
      <c r="I16">
        <f>SUM(L8,I7,L5)</f>
        <v>43</v>
      </c>
      <c r="K16">
        <f>E16-$I$16</f>
        <v>-19</v>
      </c>
      <c r="L16">
        <f>F16-$I$16</f>
        <v>-10</v>
      </c>
      <c r="M16">
        <f>G16-$I$16</f>
        <v>-16</v>
      </c>
      <c r="N16">
        <f>H16-$I$16</f>
        <v>-21</v>
      </c>
      <c r="P16" s="7">
        <f>K16/$I$13</f>
        <v>-0.39583333333333331</v>
      </c>
      <c r="Q16" s="7">
        <f>L16/$I$13</f>
        <v>-0.20833333333333334</v>
      </c>
      <c r="R16" s="7">
        <f>M16/$I$13</f>
        <v>-0.33333333333333331</v>
      </c>
      <c r="S16" s="7">
        <f>N16/$I$13</f>
        <v>-0.4375</v>
      </c>
    </row>
    <row r="18" spans="3:19" x14ac:dyDescent="0.35">
      <c r="E18" s="8" t="s">
        <v>136</v>
      </c>
      <c r="F18" s="8"/>
      <c r="G18" s="8"/>
      <c r="H18" s="8"/>
      <c r="I18" t="s">
        <v>135</v>
      </c>
      <c r="K18" s="8" t="s">
        <v>136</v>
      </c>
      <c r="L18" s="8"/>
      <c r="M18" s="8"/>
      <c r="N18" s="8"/>
      <c r="P18" s="8" t="s">
        <v>128</v>
      </c>
      <c r="Q18" s="8"/>
      <c r="R18" s="8"/>
      <c r="S18" s="8"/>
    </row>
    <row r="19" spans="3:19" x14ac:dyDescent="0.35">
      <c r="C19" t="s">
        <v>138</v>
      </c>
      <c r="D19" t="s">
        <v>97</v>
      </c>
      <c r="E19">
        <v>35</v>
      </c>
      <c r="F19">
        <v>39</v>
      </c>
      <c r="G19">
        <v>35</v>
      </c>
      <c r="H19">
        <v>26</v>
      </c>
      <c r="I19">
        <v>29</v>
      </c>
      <c r="K19">
        <f>E19-$I$16</f>
        <v>-8</v>
      </c>
      <c r="L19">
        <f>F19-$I$16</f>
        <v>-4</v>
      </c>
      <c r="M19">
        <f>G19-$I$16</f>
        <v>-8</v>
      </c>
      <c r="N19">
        <f>H19-$I$16</f>
        <v>-17</v>
      </c>
      <c r="P19" s="7">
        <f>K19/$I$13</f>
        <v>-0.16666666666666666</v>
      </c>
      <c r="Q19" s="7">
        <f>L19/$I$13</f>
        <v>-8.3333333333333329E-2</v>
      </c>
      <c r="R19" s="7">
        <f>M19/$I$13</f>
        <v>-0.16666666666666666</v>
      </c>
      <c r="S19" s="7">
        <f>N19/$I$13</f>
        <v>-0.35416666666666669</v>
      </c>
    </row>
    <row r="20" spans="3:19" ht="13.5" customHeight="1" x14ac:dyDescent="0.35"/>
    <row r="21" spans="3:19" x14ac:dyDescent="0.35">
      <c r="E21" s="8" t="s">
        <v>137</v>
      </c>
      <c r="F21" s="8"/>
      <c r="G21" s="8"/>
      <c r="H21" s="8"/>
      <c r="K21" s="8" t="s">
        <v>137</v>
      </c>
      <c r="L21" s="8"/>
      <c r="M21" s="8"/>
      <c r="N21" s="8"/>
      <c r="P21" s="8" t="s">
        <v>128</v>
      </c>
      <c r="Q21" s="8"/>
      <c r="R21" s="8"/>
      <c r="S21" s="8"/>
    </row>
    <row r="22" spans="3:19" x14ac:dyDescent="0.35">
      <c r="D22" t="s">
        <v>98</v>
      </c>
      <c r="E22">
        <v>3</v>
      </c>
      <c r="F22">
        <v>3</v>
      </c>
      <c r="G22">
        <v>3</v>
      </c>
      <c r="H22">
        <v>1</v>
      </c>
      <c r="I22">
        <v>20</v>
      </c>
      <c r="K22">
        <f>E22-$I$16</f>
        <v>-40</v>
      </c>
      <c r="L22">
        <f>F22-$I$16</f>
        <v>-40</v>
      </c>
      <c r="M22">
        <f>G22-$I$16</f>
        <v>-40</v>
      </c>
      <c r="N22">
        <f>H22-$I$16</f>
        <v>-42</v>
      </c>
      <c r="P22" s="7">
        <f>K22/$I$13</f>
        <v>-0.83333333333333337</v>
      </c>
      <c r="Q22" s="7">
        <f>L22/$I$13</f>
        <v>-0.83333333333333337</v>
      </c>
      <c r="R22" s="7">
        <f>M22/$I$13</f>
        <v>-0.83333333333333337</v>
      </c>
      <c r="S22" s="7">
        <f>N22/$I$13</f>
        <v>-0.875</v>
      </c>
    </row>
  </sheetData>
  <mergeCells count="12">
    <mergeCell ref="E18:H18"/>
    <mergeCell ref="E21:H21"/>
    <mergeCell ref="K18:N18"/>
    <mergeCell ref="K21:N21"/>
    <mergeCell ref="P18:S18"/>
    <mergeCell ref="P21:S21"/>
    <mergeCell ref="E12:H12"/>
    <mergeCell ref="K12:N12"/>
    <mergeCell ref="P12:S12"/>
    <mergeCell ref="E15:H15"/>
    <mergeCell ref="K15:N15"/>
    <mergeCell ref="P15:S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1FF-8C58-4B5B-AD01-8FC2044999A4}">
  <dimension ref="A1:I8"/>
  <sheetViews>
    <sheetView workbookViewId="0">
      <selection activeCell="E1" sqref="E1:I8"/>
    </sheetView>
  </sheetViews>
  <sheetFormatPr defaultRowHeight="14.5" x14ac:dyDescent="0.35"/>
  <cols>
    <col min="1" max="1" width="3.81640625" bestFit="1" customWidth="1"/>
    <col min="2" max="2" width="25.1796875" bestFit="1" customWidth="1"/>
    <col min="3" max="3" width="25.36328125" bestFit="1" customWidth="1"/>
    <col min="4" max="4" width="7.6328125" bestFit="1" customWidth="1"/>
    <col min="5" max="5" width="16.90625" bestFit="1" customWidth="1"/>
    <col min="6" max="6" width="15.54296875" bestFit="1" customWidth="1"/>
    <col min="7" max="7" width="15.08984375" bestFit="1" customWidth="1"/>
    <col min="8" max="8" width="15.6328125" bestFit="1" customWidth="1"/>
  </cols>
  <sheetData>
    <row r="1" spans="1:9" x14ac:dyDescent="0.35">
      <c r="A1" t="s">
        <v>22</v>
      </c>
      <c r="B1" t="s">
        <v>1</v>
      </c>
      <c r="C1" t="s">
        <v>2</v>
      </c>
      <c r="D1" t="s">
        <v>3</v>
      </c>
      <c r="E1" t="s">
        <v>58</v>
      </c>
      <c r="F1" t="s">
        <v>59</v>
      </c>
      <c r="G1" t="s">
        <v>60</v>
      </c>
      <c r="H1" t="s">
        <v>61</v>
      </c>
      <c r="I1" t="s">
        <v>95</v>
      </c>
    </row>
    <row r="2" spans="1:9" x14ac:dyDescent="0.35">
      <c r="A2">
        <v>11</v>
      </c>
      <c r="B2" t="s">
        <v>62</v>
      </c>
      <c r="C2" t="s">
        <v>9</v>
      </c>
      <c r="D2">
        <v>1849</v>
      </c>
      <c r="E2">
        <v>322</v>
      </c>
      <c r="F2">
        <v>540</v>
      </c>
      <c r="G2">
        <v>1086</v>
      </c>
      <c r="H2">
        <v>1375</v>
      </c>
      <c r="I2" t="s">
        <v>96</v>
      </c>
    </row>
    <row r="3" spans="1:9" x14ac:dyDescent="0.35">
      <c r="A3">
        <v>13</v>
      </c>
      <c r="B3" t="s">
        <v>63</v>
      </c>
      <c r="C3" t="s">
        <v>11</v>
      </c>
      <c r="D3">
        <v>3611</v>
      </c>
      <c r="E3">
        <v>369</v>
      </c>
      <c r="F3">
        <v>466</v>
      </c>
      <c r="G3">
        <v>1734</v>
      </c>
      <c r="H3">
        <v>1358</v>
      </c>
      <c r="I3" t="s">
        <v>97</v>
      </c>
    </row>
    <row r="4" spans="1:9" x14ac:dyDescent="0.35">
      <c r="A4">
        <v>14</v>
      </c>
      <c r="B4" t="s">
        <v>64</v>
      </c>
      <c r="C4" t="s">
        <v>13</v>
      </c>
      <c r="D4">
        <v>5416</v>
      </c>
      <c r="E4">
        <v>314</v>
      </c>
      <c r="F4">
        <v>396</v>
      </c>
      <c r="G4">
        <v>856</v>
      </c>
      <c r="H4">
        <v>1351</v>
      </c>
      <c r="I4" t="s">
        <v>98</v>
      </c>
    </row>
    <row r="5" spans="1:9" x14ac:dyDescent="0.35">
      <c r="A5">
        <v>15</v>
      </c>
      <c r="B5" t="s">
        <v>65</v>
      </c>
      <c r="C5" t="s">
        <v>15</v>
      </c>
      <c r="D5">
        <v>5411</v>
      </c>
      <c r="E5">
        <v>344</v>
      </c>
      <c r="F5">
        <v>455</v>
      </c>
      <c r="G5">
        <v>1031</v>
      </c>
      <c r="H5">
        <v>1374</v>
      </c>
      <c r="I5" t="s">
        <v>99</v>
      </c>
    </row>
    <row r="6" spans="1:9" x14ac:dyDescent="0.35">
      <c r="A6">
        <v>16</v>
      </c>
      <c r="B6" t="s">
        <v>66</v>
      </c>
      <c r="C6" t="s">
        <v>17</v>
      </c>
      <c r="D6">
        <v>1827</v>
      </c>
      <c r="E6">
        <v>341</v>
      </c>
      <c r="F6">
        <v>393</v>
      </c>
      <c r="G6">
        <v>1039</v>
      </c>
      <c r="H6">
        <v>1339</v>
      </c>
      <c r="I6" t="s">
        <v>100</v>
      </c>
    </row>
    <row r="7" spans="1:9" x14ac:dyDescent="0.35">
      <c r="A7">
        <v>17</v>
      </c>
      <c r="B7" t="s">
        <v>67</v>
      </c>
      <c r="C7" t="s">
        <v>19</v>
      </c>
      <c r="D7">
        <v>3652</v>
      </c>
      <c r="E7">
        <v>326</v>
      </c>
      <c r="F7">
        <v>420</v>
      </c>
      <c r="G7">
        <v>1120</v>
      </c>
      <c r="H7">
        <v>1373</v>
      </c>
      <c r="I7" t="s">
        <v>101</v>
      </c>
    </row>
    <row r="8" spans="1:9" x14ac:dyDescent="0.35">
      <c r="A8">
        <v>18</v>
      </c>
      <c r="B8" t="s">
        <v>68</v>
      </c>
      <c r="C8" t="s">
        <v>21</v>
      </c>
      <c r="D8">
        <v>1816</v>
      </c>
      <c r="E8">
        <v>319</v>
      </c>
      <c r="F8">
        <v>415</v>
      </c>
      <c r="G8">
        <v>836</v>
      </c>
      <c r="H8">
        <v>1349</v>
      </c>
      <c r="I8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10D6-619C-437B-A3A8-6EAA909A4B72}">
  <dimension ref="A1:M8"/>
  <sheetViews>
    <sheetView workbookViewId="0">
      <selection activeCell="I40" sqref="I40"/>
    </sheetView>
  </sheetViews>
  <sheetFormatPr defaultRowHeight="14.5" x14ac:dyDescent="0.35"/>
  <cols>
    <col min="1" max="1" width="3.81640625" bestFit="1" customWidth="1"/>
    <col min="2" max="2" width="25.1796875" bestFit="1" customWidth="1"/>
    <col min="3" max="3" width="25.36328125" bestFit="1" customWidth="1"/>
    <col min="4" max="4" width="7.6328125" bestFit="1" customWidth="1"/>
    <col min="5" max="5" width="15.26953125" bestFit="1" customWidth="1"/>
    <col min="6" max="6" width="14" bestFit="1" customWidth="1"/>
    <col min="7" max="7" width="13.6328125" bestFit="1" customWidth="1"/>
    <col min="8" max="8" width="14.54296875" bestFit="1" customWidth="1"/>
    <col min="9" max="9" width="12" bestFit="1" customWidth="1"/>
    <col min="10" max="10" width="10.7265625" bestFit="1" customWidth="1"/>
    <col min="11" max="11" width="10.36328125" bestFit="1" customWidth="1"/>
    <col min="12" max="12" width="10.90625" bestFit="1" customWidth="1"/>
  </cols>
  <sheetData>
    <row r="1" spans="1:13" x14ac:dyDescent="0.35">
      <c r="A1" t="s">
        <v>22</v>
      </c>
      <c r="B1" t="s">
        <v>1</v>
      </c>
      <c r="C1" t="s">
        <v>2</v>
      </c>
      <c r="D1" t="s">
        <v>3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95</v>
      </c>
    </row>
    <row r="2" spans="1:13" x14ac:dyDescent="0.35">
      <c r="A2">
        <v>11</v>
      </c>
      <c r="B2" t="s">
        <v>77</v>
      </c>
      <c r="C2" t="s">
        <v>9</v>
      </c>
      <c r="D2">
        <v>1849</v>
      </c>
      <c r="E2">
        <v>100</v>
      </c>
      <c r="F2">
        <v>100</v>
      </c>
      <c r="G2">
        <v>86</v>
      </c>
      <c r="H2">
        <v>94</v>
      </c>
      <c r="I2">
        <v>91</v>
      </c>
      <c r="J2">
        <v>97</v>
      </c>
      <c r="K2">
        <v>83</v>
      </c>
      <c r="L2">
        <v>83</v>
      </c>
      <c r="M2" t="s">
        <v>96</v>
      </c>
    </row>
    <row r="3" spans="1:13" x14ac:dyDescent="0.35">
      <c r="A3">
        <v>13</v>
      </c>
      <c r="B3" t="s">
        <v>78</v>
      </c>
      <c r="C3" t="s">
        <v>11</v>
      </c>
      <c r="D3">
        <v>3611</v>
      </c>
      <c r="E3">
        <v>30</v>
      </c>
      <c r="F3">
        <v>27</v>
      </c>
      <c r="G3">
        <v>50</v>
      </c>
      <c r="H3">
        <v>50</v>
      </c>
      <c r="I3">
        <v>50</v>
      </c>
      <c r="J3">
        <v>50</v>
      </c>
      <c r="K3">
        <v>50</v>
      </c>
      <c r="L3">
        <v>31</v>
      </c>
      <c r="M3" t="s">
        <v>97</v>
      </c>
    </row>
    <row r="4" spans="1:13" x14ac:dyDescent="0.35">
      <c r="A4">
        <v>14</v>
      </c>
      <c r="B4" t="s">
        <v>79</v>
      </c>
      <c r="C4" t="s">
        <v>13</v>
      </c>
      <c r="D4">
        <v>5416</v>
      </c>
      <c r="E4">
        <v>50</v>
      </c>
      <c r="F4">
        <v>50</v>
      </c>
      <c r="G4">
        <v>50</v>
      </c>
      <c r="H4">
        <v>50</v>
      </c>
      <c r="I4">
        <v>7</v>
      </c>
      <c r="J4">
        <v>7</v>
      </c>
      <c r="K4">
        <v>7</v>
      </c>
      <c r="L4">
        <v>3</v>
      </c>
      <c r="M4" t="s">
        <v>98</v>
      </c>
    </row>
    <row r="5" spans="1:13" x14ac:dyDescent="0.35">
      <c r="A5">
        <v>15</v>
      </c>
      <c r="B5" t="s">
        <v>80</v>
      </c>
      <c r="C5" t="s">
        <v>15</v>
      </c>
      <c r="D5">
        <v>5411</v>
      </c>
      <c r="E5">
        <v>100</v>
      </c>
      <c r="F5">
        <v>100</v>
      </c>
      <c r="G5">
        <v>100</v>
      </c>
      <c r="H5">
        <v>100</v>
      </c>
      <c r="I5">
        <v>25</v>
      </c>
      <c r="J5">
        <v>31</v>
      </c>
      <c r="K5">
        <v>27</v>
      </c>
      <c r="L5">
        <v>29</v>
      </c>
      <c r="M5" t="s">
        <v>99</v>
      </c>
    </row>
    <row r="6" spans="1:13" x14ac:dyDescent="0.35">
      <c r="A6">
        <v>16</v>
      </c>
      <c r="B6" t="s">
        <v>81</v>
      </c>
      <c r="C6" t="s">
        <v>17</v>
      </c>
      <c r="D6">
        <v>1827</v>
      </c>
      <c r="E6">
        <v>42</v>
      </c>
      <c r="F6">
        <v>50</v>
      </c>
      <c r="G6">
        <v>42</v>
      </c>
      <c r="H6">
        <v>42</v>
      </c>
      <c r="I6">
        <v>50</v>
      </c>
      <c r="J6">
        <v>50</v>
      </c>
      <c r="K6">
        <v>50</v>
      </c>
      <c r="L6">
        <v>50</v>
      </c>
      <c r="M6" t="s">
        <v>100</v>
      </c>
    </row>
    <row r="7" spans="1:13" x14ac:dyDescent="0.35">
      <c r="A7">
        <v>17</v>
      </c>
      <c r="B7" t="s">
        <v>82</v>
      </c>
      <c r="C7" t="s">
        <v>19</v>
      </c>
      <c r="D7">
        <v>3652</v>
      </c>
      <c r="E7">
        <v>100</v>
      </c>
      <c r="F7">
        <v>75</v>
      </c>
      <c r="G7">
        <v>100</v>
      </c>
      <c r="H7">
        <v>100</v>
      </c>
      <c r="I7">
        <v>83</v>
      </c>
      <c r="J7">
        <v>87</v>
      </c>
      <c r="K7">
        <v>83</v>
      </c>
      <c r="L7">
        <v>75</v>
      </c>
      <c r="M7" t="s">
        <v>101</v>
      </c>
    </row>
    <row r="8" spans="1:13" x14ac:dyDescent="0.35">
      <c r="A8">
        <v>18</v>
      </c>
      <c r="B8" t="s">
        <v>83</v>
      </c>
      <c r="C8" t="s">
        <v>21</v>
      </c>
      <c r="D8">
        <v>1816</v>
      </c>
      <c r="E8">
        <v>50</v>
      </c>
      <c r="F8">
        <v>50</v>
      </c>
      <c r="G8">
        <v>50</v>
      </c>
      <c r="H8">
        <v>50</v>
      </c>
      <c r="I8">
        <v>7</v>
      </c>
      <c r="J8">
        <v>17</v>
      </c>
      <c r="K8">
        <v>12</v>
      </c>
      <c r="L8">
        <v>7</v>
      </c>
      <c r="M8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7D38-6317-48C2-AA96-D6BBB83C977B}">
  <dimension ref="A1:W20"/>
  <sheetViews>
    <sheetView workbookViewId="0">
      <selection activeCell="H23" sqref="H23"/>
    </sheetView>
  </sheetViews>
  <sheetFormatPr defaultRowHeight="14.5" x14ac:dyDescent="0.35"/>
  <cols>
    <col min="1" max="1" width="3.81640625" bestFit="1" customWidth="1"/>
    <col min="2" max="2" width="25.1796875" bestFit="1" customWidth="1"/>
    <col min="3" max="3" width="25.36328125" bestFit="1" customWidth="1"/>
    <col min="4" max="4" width="7.6328125" bestFit="1" customWidth="1"/>
    <col min="5" max="5" width="12.6328125" bestFit="1" customWidth="1"/>
    <col min="6" max="6" width="11.26953125" bestFit="1" customWidth="1"/>
    <col min="7" max="7" width="10.90625" bestFit="1" customWidth="1"/>
    <col min="8" max="8" width="11.453125" bestFit="1" customWidth="1"/>
    <col min="12" max="12" width="10.81640625" bestFit="1" customWidth="1"/>
    <col min="14" max="14" width="10.7265625" bestFit="1" customWidth="1"/>
    <col min="15" max="15" width="9.54296875" bestFit="1" customWidth="1"/>
    <col min="16" max="16" width="9.08984375" customWidth="1"/>
  </cols>
  <sheetData>
    <row r="1" spans="1:23" x14ac:dyDescent="0.35">
      <c r="A1" t="s">
        <v>22</v>
      </c>
      <c r="B1" t="s">
        <v>1</v>
      </c>
      <c r="C1" t="s">
        <v>2</v>
      </c>
      <c r="D1" t="s">
        <v>3</v>
      </c>
      <c r="E1" t="s">
        <v>84</v>
      </c>
      <c r="F1" t="s">
        <v>85</v>
      </c>
      <c r="G1" t="s">
        <v>86</v>
      </c>
      <c r="H1" t="s">
        <v>87</v>
      </c>
      <c r="I1" t="s">
        <v>95</v>
      </c>
      <c r="N1" t="s">
        <v>107</v>
      </c>
      <c r="O1" t="s">
        <v>108</v>
      </c>
      <c r="P1" t="s">
        <v>109</v>
      </c>
      <c r="Q1" t="s">
        <v>115</v>
      </c>
      <c r="R1" t="s">
        <v>116</v>
      </c>
      <c r="S1" t="s">
        <v>117</v>
      </c>
      <c r="U1" t="s">
        <v>123</v>
      </c>
      <c r="V1" t="s">
        <v>124</v>
      </c>
      <c r="W1" t="s">
        <v>125</v>
      </c>
    </row>
    <row r="2" spans="1:23" x14ac:dyDescent="0.35">
      <c r="A2">
        <v>11</v>
      </c>
      <c r="B2" t="s">
        <v>88</v>
      </c>
      <c r="C2" t="s">
        <v>9</v>
      </c>
      <c r="D2">
        <v>1849</v>
      </c>
      <c r="E2">
        <v>1102</v>
      </c>
      <c r="F2">
        <v>2659</v>
      </c>
      <c r="G2">
        <v>2959</v>
      </c>
      <c r="H2">
        <v>3237</v>
      </c>
      <c r="I2" t="s">
        <v>96</v>
      </c>
      <c r="N2">
        <f>$D2*$C$10</f>
        <v>1.849</v>
      </c>
      <c r="O2">
        <f>$D2*$C$11</f>
        <v>1.849</v>
      </c>
      <c r="P2">
        <f>$D2*$C$12</f>
        <v>2.7734999999999999</v>
      </c>
      <c r="Q2">
        <f>E2/3600*($A$14*$E$14+$A$18*$E$18)</f>
        <v>6.6120000000000012E-2</v>
      </c>
      <c r="R2">
        <f>F2/3600*($A$15*$E$15+$A$19*$E$19)</f>
        <v>0.11522333333333333</v>
      </c>
      <c r="S2">
        <f>G2/3600*($A$16*$E$16+$A$20*$E$20)</f>
        <v>0.17162200000000002</v>
      </c>
      <c r="U2">
        <f>N2+Q2</f>
        <v>1.9151199999999999</v>
      </c>
      <c r="V2">
        <f>O2+R2</f>
        <v>1.9642233333333332</v>
      </c>
      <c r="W2">
        <f>P2+S2</f>
        <v>2.945122</v>
      </c>
    </row>
    <row r="3" spans="1:23" x14ac:dyDescent="0.35">
      <c r="A3">
        <v>13</v>
      </c>
      <c r="B3" t="s">
        <v>89</v>
      </c>
      <c r="C3" t="s">
        <v>11</v>
      </c>
      <c r="D3">
        <v>3611</v>
      </c>
      <c r="E3">
        <v>2742</v>
      </c>
      <c r="F3">
        <v>7621</v>
      </c>
      <c r="G3">
        <v>10023</v>
      </c>
      <c r="H3">
        <v>5501</v>
      </c>
      <c r="I3" t="s">
        <v>97</v>
      </c>
      <c r="N3">
        <f t="shared" ref="N3:N8" si="0">$D3*$C$10</f>
        <v>3.6110000000000002</v>
      </c>
      <c r="O3">
        <f t="shared" ref="O3:O8" si="1">$D3*$C$11</f>
        <v>3.6110000000000002</v>
      </c>
      <c r="P3">
        <f t="shared" ref="P3:P8" si="2">$D3*$C$12</f>
        <v>5.4165000000000001</v>
      </c>
      <c r="Q3">
        <f>E3/3600*($A$14*$E$14+$A$18*E19)</f>
        <v>0.13039733333333337</v>
      </c>
      <c r="R3">
        <f t="shared" ref="R3:R8" si="3">F3/3600*($A$15*$E$15+$A$19*$E$19)</f>
        <v>0.33024333333333333</v>
      </c>
      <c r="S3">
        <f t="shared" ref="S3:S8" si="4">G3/3600*($A$16*$E$16+$A$20*$E$20)</f>
        <v>0.58133400000000002</v>
      </c>
      <c r="U3">
        <f t="shared" ref="U3:W8" si="5">N3+Q3</f>
        <v>3.7413973333333335</v>
      </c>
      <c r="V3">
        <f t="shared" si="5"/>
        <v>3.9412433333333334</v>
      </c>
      <c r="W3">
        <f t="shared" si="5"/>
        <v>5.9978340000000001</v>
      </c>
    </row>
    <row r="4" spans="1:23" x14ac:dyDescent="0.35">
      <c r="A4">
        <v>14</v>
      </c>
      <c r="B4" t="s">
        <v>90</v>
      </c>
      <c r="C4" t="s">
        <v>13</v>
      </c>
      <c r="D4">
        <v>5416</v>
      </c>
      <c r="E4">
        <v>2088</v>
      </c>
      <c r="F4">
        <v>2388</v>
      </c>
      <c r="G4">
        <v>4897</v>
      </c>
      <c r="H4">
        <v>7751</v>
      </c>
      <c r="I4" t="s">
        <v>98</v>
      </c>
      <c r="N4">
        <f t="shared" si="0"/>
        <v>5.4160000000000004</v>
      </c>
      <c r="O4">
        <f t="shared" si="1"/>
        <v>5.4160000000000004</v>
      </c>
      <c r="P4">
        <f t="shared" si="2"/>
        <v>8.1240000000000006</v>
      </c>
      <c r="Q4">
        <f t="shared" ref="Q3:Q8" si="6">E4/3600*($A$14*$E$14+$A$18*E20)</f>
        <v>0.12528</v>
      </c>
      <c r="R4">
        <f t="shared" si="3"/>
        <v>0.10348</v>
      </c>
      <c r="S4">
        <f t="shared" si="4"/>
        <v>0.284026</v>
      </c>
      <c r="U4">
        <f t="shared" si="5"/>
        <v>5.5412800000000004</v>
      </c>
      <c r="V4">
        <f t="shared" si="5"/>
        <v>5.5194800000000006</v>
      </c>
      <c r="W4">
        <f t="shared" si="5"/>
        <v>8.4080260000000013</v>
      </c>
    </row>
    <row r="5" spans="1:23" x14ac:dyDescent="0.35">
      <c r="A5">
        <v>15</v>
      </c>
      <c r="B5" t="s">
        <v>91</v>
      </c>
      <c r="C5" t="s">
        <v>15</v>
      </c>
      <c r="D5">
        <v>5411</v>
      </c>
      <c r="E5">
        <v>2493</v>
      </c>
      <c r="F5">
        <v>3091</v>
      </c>
      <c r="G5">
        <v>6459</v>
      </c>
      <c r="H5">
        <v>7689</v>
      </c>
      <c r="I5" t="s">
        <v>99</v>
      </c>
      <c r="N5">
        <f t="shared" si="0"/>
        <v>5.4110000000000005</v>
      </c>
      <c r="O5">
        <f t="shared" si="1"/>
        <v>5.4110000000000005</v>
      </c>
      <c r="P5">
        <f t="shared" si="2"/>
        <v>8.1165000000000003</v>
      </c>
      <c r="Q5">
        <f t="shared" si="6"/>
        <v>2.9916000000000002E-2</v>
      </c>
      <c r="R5">
        <f t="shared" si="3"/>
        <v>0.13394333333333333</v>
      </c>
      <c r="S5">
        <f t="shared" si="4"/>
        <v>0.37462200000000001</v>
      </c>
      <c r="U5">
        <f t="shared" si="5"/>
        <v>5.4409160000000005</v>
      </c>
      <c r="V5">
        <f t="shared" si="5"/>
        <v>5.5449433333333342</v>
      </c>
      <c r="W5">
        <f t="shared" si="5"/>
        <v>8.4911220000000007</v>
      </c>
    </row>
    <row r="6" spans="1:23" x14ac:dyDescent="0.35">
      <c r="A6">
        <v>16</v>
      </c>
      <c r="B6" t="s">
        <v>92</v>
      </c>
      <c r="C6" t="s">
        <v>17</v>
      </c>
      <c r="D6">
        <v>1827</v>
      </c>
      <c r="E6">
        <v>805</v>
      </c>
      <c r="F6">
        <v>1015</v>
      </c>
      <c r="G6">
        <v>2395</v>
      </c>
      <c r="H6">
        <v>2636</v>
      </c>
      <c r="I6" t="s">
        <v>100</v>
      </c>
      <c r="N6">
        <f t="shared" si="0"/>
        <v>1.827</v>
      </c>
      <c r="O6">
        <f t="shared" si="1"/>
        <v>1.827</v>
      </c>
      <c r="P6">
        <f t="shared" si="2"/>
        <v>2.7404999999999999</v>
      </c>
      <c r="Q6">
        <f t="shared" si="6"/>
        <v>9.6600000000000002E-3</v>
      </c>
      <c r="R6">
        <f t="shared" si="3"/>
        <v>4.3983333333333333E-2</v>
      </c>
      <c r="S6">
        <f t="shared" si="4"/>
        <v>0.13891000000000001</v>
      </c>
      <c r="U6">
        <f t="shared" si="5"/>
        <v>1.83666</v>
      </c>
      <c r="V6">
        <f t="shared" si="5"/>
        <v>1.8709833333333332</v>
      </c>
      <c r="W6">
        <f t="shared" si="5"/>
        <v>2.87941</v>
      </c>
    </row>
    <row r="7" spans="1:23" x14ac:dyDescent="0.35">
      <c r="A7">
        <v>17</v>
      </c>
      <c r="B7" t="s">
        <v>93</v>
      </c>
      <c r="C7" t="s">
        <v>19</v>
      </c>
      <c r="D7">
        <v>3652</v>
      </c>
      <c r="E7">
        <v>1766</v>
      </c>
      <c r="F7">
        <v>3283</v>
      </c>
      <c r="G7">
        <v>5351</v>
      </c>
      <c r="H7">
        <v>5507</v>
      </c>
      <c r="I7" t="s">
        <v>101</v>
      </c>
      <c r="N7">
        <f t="shared" si="0"/>
        <v>3.6520000000000001</v>
      </c>
      <c r="O7">
        <f t="shared" si="1"/>
        <v>3.6520000000000001</v>
      </c>
      <c r="P7">
        <f t="shared" si="2"/>
        <v>5.4779999999999998</v>
      </c>
      <c r="Q7">
        <f t="shared" si="6"/>
        <v>2.1192000000000003E-2</v>
      </c>
      <c r="R7">
        <f t="shared" si="3"/>
        <v>0.14226333333333332</v>
      </c>
      <c r="S7">
        <f t="shared" si="4"/>
        <v>0.31035800000000002</v>
      </c>
      <c r="U7">
        <f t="shared" si="5"/>
        <v>3.6731920000000002</v>
      </c>
      <c r="V7">
        <f t="shared" si="5"/>
        <v>3.7942633333333333</v>
      </c>
      <c r="W7">
        <f t="shared" si="5"/>
        <v>5.7883579999999997</v>
      </c>
    </row>
    <row r="8" spans="1:23" x14ac:dyDescent="0.35">
      <c r="A8">
        <v>18</v>
      </c>
      <c r="B8" t="s">
        <v>94</v>
      </c>
      <c r="C8" t="s">
        <v>21</v>
      </c>
      <c r="D8">
        <v>1816</v>
      </c>
      <c r="E8">
        <v>804</v>
      </c>
      <c r="F8">
        <v>1127</v>
      </c>
      <c r="G8">
        <v>1813</v>
      </c>
      <c r="H8">
        <v>2567</v>
      </c>
      <c r="I8" t="s">
        <v>102</v>
      </c>
      <c r="N8">
        <f t="shared" si="0"/>
        <v>1.8160000000000001</v>
      </c>
      <c r="O8">
        <f t="shared" si="1"/>
        <v>1.8160000000000001</v>
      </c>
      <c r="P8">
        <f t="shared" si="2"/>
        <v>2.7240000000000002</v>
      </c>
      <c r="Q8">
        <f t="shared" si="6"/>
        <v>9.6480000000000003E-3</v>
      </c>
      <c r="R8">
        <f t="shared" si="3"/>
        <v>4.883666666666666E-2</v>
      </c>
      <c r="S8">
        <f t="shared" si="4"/>
        <v>0.10515400000000001</v>
      </c>
      <c r="U8">
        <f t="shared" si="5"/>
        <v>1.8256480000000002</v>
      </c>
      <c r="V8">
        <f t="shared" si="5"/>
        <v>1.8648366666666667</v>
      </c>
      <c r="W8">
        <f t="shared" si="5"/>
        <v>2.8291540000000004</v>
      </c>
    </row>
    <row r="10" spans="1:23" x14ac:dyDescent="0.35">
      <c r="B10" t="s">
        <v>103</v>
      </c>
      <c r="C10">
        <v>1E-3</v>
      </c>
      <c r="D10" t="s">
        <v>104</v>
      </c>
    </row>
    <row r="11" spans="1:23" x14ac:dyDescent="0.35">
      <c r="B11" t="s">
        <v>105</v>
      </c>
      <c r="C11">
        <v>1E-3</v>
      </c>
      <c r="D11" t="s">
        <v>104</v>
      </c>
    </row>
    <row r="12" spans="1:23" x14ac:dyDescent="0.35">
      <c r="B12" t="s">
        <v>106</v>
      </c>
      <c r="C12">
        <v>1.5E-3</v>
      </c>
      <c r="D12" t="s">
        <v>104</v>
      </c>
    </row>
    <row r="14" spans="1:23" x14ac:dyDescent="0.35">
      <c r="A14">
        <v>4</v>
      </c>
      <c r="B14" s="6" t="s">
        <v>112</v>
      </c>
      <c r="C14" s="5">
        <v>3.0000000000000001E-6</v>
      </c>
      <c r="D14" t="s">
        <v>110</v>
      </c>
      <c r="E14">
        <f>C14*3600</f>
        <v>1.0800000000000001E-2</v>
      </c>
      <c r="F14" t="s">
        <v>111</v>
      </c>
    </row>
    <row r="15" spans="1:23" x14ac:dyDescent="0.35">
      <c r="A15">
        <v>4</v>
      </c>
      <c r="B15" t="s">
        <v>113</v>
      </c>
      <c r="C15" s="5">
        <v>7.0000000000000001E-3</v>
      </c>
      <c r="D15" t="s">
        <v>111</v>
      </c>
      <c r="E15">
        <v>7.0000000000000001E-3</v>
      </c>
      <c r="F15" t="s">
        <v>111</v>
      </c>
    </row>
    <row r="16" spans="1:23" x14ac:dyDescent="0.35">
      <c r="A16">
        <v>4</v>
      </c>
      <c r="B16" t="s">
        <v>114</v>
      </c>
      <c r="C16">
        <v>2.5000000000000002E-6</v>
      </c>
      <c r="D16" t="s">
        <v>110</v>
      </c>
      <c r="E16">
        <f>C16*3600</f>
        <v>9.0000000000000011E-3</v>
      </c>
      <c r="F16" t="s">
        <v>111</v>
      </c>
    </row>
    <row r="18" spans="1:6" x14ac:dyDescent="0.35">
      <c r="A18">
        <v>2</v>
      </c>
      <c r="B18" t="s">
        <v>120</v>
      </c>
      <c r="C18">
        <v>2.4000000000000001E-5</v>
      </c>
      <c r="D18" t="s">
        <v>118</v>
      </c>
      <c r="E18">
        <f>C18*3600</f>
        <v>8.6400000000000005E-2</v>
      </c>
      <c r="F18" t="s">
        <v>111</v>
      </c>
    </row>
    <row r="19" spans="1:6" x14ac:dyDescent="0.35">
      <c r="A19">
        <v>2</v>
      </c>
      <c r="B19" t="s">
        <v>121</v>
      </c>
      <c r="C19">
        <v>6.4000000000000001E-2</v>
      </c>
      <c r="D19" t="s">
        <v>119</v>
      </c>
      <c r="E19">
        <v>6.4000000000000001E-2</v>
      </c>
      <c r="F19" t="s">
        <v>111</v>
      </c>
    </row>
    <row r="20" spans="1:6" x14ac:dyDescent="0.35">
      <c r="A20">
        <v>2</v>
      </c>
      <c r="B20" t="s">
        <v>122</v>
      </c>
      <c r="C20">
        <v>2.4000000000000001E-5</v>
      </c>
      <c r="D20" t="s">
        <v>118</v>
      </c>
      <c r="E20">
        <f>C20*3600</f>
        <v>8.6400000000000005E-2</v>
      </c>
      <c r="F20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FPS_METRICS</vt:lpstr>
      <vt:lpstr>COST_METRICS</vt:lpstr>
      <vt:lpstr>COUNT_PEOPLE</vt:lpstr>
      <vt:lpstr>COUNT_VEHICLES</vt:lpstr>
      <vt:lpstr>LATENCY_METRICS</vt:lpstr>
      <vt:lpstr>PRECISION_RECALL</vt:lpstr>
      <vt:lpstr>PROCESSING_TIME_METRICS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 Peres</dc:creator>
  <cp:lastModifiedBy>Nilson Peres</cp:lastModifiedBy>
  <dcterms:created xsi:type="dcterms:W3CDTF">2025-05-15T13:28:32Z</dcterms:created>
  <dcterms:modified xsi:type="dcterms:W3CDTF">2025-05-16T22:33:19Z</dcterms:modified>
</cp:coreProperties>
</file>